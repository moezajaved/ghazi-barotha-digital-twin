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ochure Data" sheetId="1" state="visible" r:id="rId3"/>
    <sheet name="Missing Data" sheetId="2" state="visible" r:id="rId4"/>
    <sheet name="Plan" sheetId="3" state="visible" r:id="rId5"/>
    <sheet name="Sanity Check" sheetId="4" state="visible" r:id="rId6"/>
  </sheets>
  <definedNames>
    <definedName function="false" hidden="true" localSheetId="0" name="_xlnm._FilterDatabase" vbProcedure="false">'Brochure Data'!$A$1:$G$65</definedName>
    <definedName function="false" hidden="true" localSheetId="1" name="_xlnm._FilterDatabase" vbProcedure="false">'Missing Data'!$A$1:$D$23</definedName>
    <definedName function="false" hidden="true" localSheetId="2" name="_xlnm._FilterDatabase" vbProcedure="false">Plan!$A$1:$D$7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<sst xmlns="http://schemas.openxmlformats.org/spreadsheetml/2006/main" count="437" uniqueCount="189">
  <si>
    <t xml:space="preserve">Category</t>
  </si>
  <si>
    <t xml:space="preserve">Parameter</t>
  </si>
  <si>
    <t xml:space="preserve">Value</t>
  </si>
  <si>
    <t xml:space="preserve">Unit</t>
  </si>
  <si>
    <t xml:space="preserve">PDF page</t>
  </si>
  <si>
    <t xml:space="preserve">Status</t>
  </si>
  <si>
    <t xml:space="preserve">Note</t>
  </si>
  <si>
    <t xml:space="preserve">Plant</t>
  </si>
  <si>
    <t xml:space="preserve">Installed capacity</t>
  </si>
  <si>
    <t xml:space="preserve">MW</t>
  </si>
  <si>
    <t xml:space="preserve">Brochure</t>
  </si>
  <si>
    <t xml:space="preserve">5 x 290 MW (p.4, p.17)</t>
  </si>
  <si>
    <t xml:space="preserve">Average annual energy</t>
  </si>
  <si>
    <t xml:space="preserve">GWh</t>
  </si>
  <si>
    <t xml:space="preserve">Number of units</t>
  </si>
  <si>
    <t xml:space="preserve">-</t>
  </si>
  <si>
    <t xml:space="preserve">Rated output per unit</t>
  </si>
  <si>
    <t xml:space="preserve">pp.4, 7, 17</t>
  </si>
  <si>
    <t xml:space="preserve">Turbine full-gate output</t>
  </si>
  <si>
    <t xml:space="preserve">Brochure - conflict</t>
  </si>
  <si>
    <t xml:space="preserve">Differs from 290 MW; assumed full-gate maximum (assumption)</t>
  </si>
  <si>
    <t xml:space="preserve">Gross river drop (Tarbela tailrace to Haro confluence)</t>
  </si>
  <si>
    <t xml:space="preserve">m</t>
  </si>
  <si>
    <t xml:space="preserve">Over 63 km reach</t>
  </si>
  <si>
    <t xml:space="preserve">Reach length for river drop</t>
  </si>
  <si>
    <t xml:space="preserve">km</t>
  </si>
  <si>
    <t xml:space="preserve">Design head</t>
  </si>
  <si>
    <t xml:space="preserve">Combined generating efficiency</t>
  </si>
  <si>
    <t xml:space="preserve">%</t>
  </si>
  <si>
    <t xml:space="preserve">Five Francis turbines + generators</t>
  </si>
  <si>
    <t xml:space="preserve">Design flow per unit, optimum gate</t>
  </si>
  <si>
    <t xml:space="preserve">m3/s</t>
  </si>
  <si>
    <t xml:space="preserve">Design flow per unit, full gate</t>
  </si>
  <si>
    <t xml:space="preserve">p.7 and p.17</t>
  </si>
  <si>
    <t xml:space="preserve">Turbine type</t>
  </si>
  <si>
    <t xml:space="preserve">Francis</t>
  </si>
  <si>
    <t xml:space="preserve">Peak generation duration supported</t>
  </si>
  <si>
    <t xml:space="preserve">h</t>
  </si>
  <si>
    <t xml:space="preserve">Headpond live storage supports ~4 h daily peak</t>
  </si>
  <si>
    <t xml:space="preserve">Electrical</t>
  </si>
  <si>
    <t xml:space="preserve">Transformer rating (single-phase unit)</t>
  </si>
  <si>
    <t xml:space="preserve">MVA</t>
  </si>
  <si>
    <t xml:space="preserve">p.12 lists 3 x 107.5 MVA per bank</t>
  </si>
  <si>
    <t xml:space="preserve">Transformer banks (3-phase)</t>
  </si>
  <si>
    <t xml:space="preserve">Rated voltage HV:LV</t>
  </si>
  <si>
    <t xml:space="preserve">515v 3:18</t>
  </si>
  <si>
    <t xml:space="preserve">kV</t>
  </si>
  <si>
    <t xml:space="preserve">Brochure - ambiguous</t>
  </si>
  <si>
    <t xml:space="preserve">Garbled in source; probably 500/sqrt(3) : 18 kV, unconfirmed</t>
  </si>
  <si>
    <t xml:space="preserve">Switchyard 500 kV bays</t>
  </si>
  <si>
    <t xml:space="preserve">Switchyard layout</t>
  </si>
  <si>
    <t xml:space="preserve">Breaker and half</t>
  </si>
  <si>
    <t xml:space="preserve">Transmission</t>
  </si>
  <si>
    <t xml:space="preserve">500 kV double circuit</t>
  </si>
  <si>
    <t xml:space="preserve">To WAPDA national grid</t>
  </si>
  <si>
    <t xml:space="preserve">Cranes (count)</t>
  </si>
  <si>
    <t xml:space="preserve">Capacity 6 to 450 t</t>
  </si>
  <si>
    <t xml:space="preserve">Control system</t>
  </si>
  <si>
    <t xml:space="preserve">2 DCS (Barrage, Power Complex), fibre-optic link</t>
  </si>
  <si>
    <t xml:space="preserve">Penstock</t>
  </si>
  <si>
    <t xml:space="preserve">Number</t>
  </si>
  <si>
    <t xml:space="preserve">Diameter</t>
  </si>
  <si>
    <t xml:space="preserve">Length</t>
  </si>
  <si>
    <t xml:space="preserve">Barrage</t>
  </si>
  <si>
    <t xml:space="preserve">Normal pond level</t>
  </si>
  <si>
    <t xml:space="preserve">Design flood</t>
  </si>
  <si>
    <t xml:space="preserve">Survival flood</t>
  </si>
  <si>
    <t xml:space="preserve">Standard bays - openings</t>
  </si>
  <si>
    <t xml:space="preserve">Standard bays - crest level</t>
  </si>
  <si>
    <t xml:space="preserve">Head regulator - openings</t>
  </si>
  <si>
    <t xml:space="preserve">Head regulator - crest level</t>
  </si>
  <si>
    <t xml:space="preserve">Undersluices - openings</t>
  </si>
  <si>
    <t xml:space="preserve">Undersluices - crest level</t>
  </si>
  <si>
    <t xml:space="preserve">Power channel</t>
  </si>
  <si>
    <t xml:space="preserve">Design flow</t>
  </si>
  <si>
    <t xml:space="preserve">Longitudinal slope</t>
  </si>
  <si>
    <t xml:space="preserve">1:9600</t>
  </si>
  <si>
    <t xml:space="preserve">Full supply depth</t>
  </si>
  <si>
    <t xml:space="preserve">Bed width</t>
  </si>
  <si>
    <t xml:space="preserve">Side slope</t>
  </si>
  <si>
    <t xml:space="preserve">1V:2H</t>
  </si>
  <si>
    <t xml:space="preserve">Lining thickness</t>
  </si>
  <si>
    <t xml:space="preserve">mm</t>
  </si>
  <si>
    <t xml:space="preserve">Road bridges</t>
  </si>
  <si>
    <t xml:space="preserve">Railway bridge</t>
  </si>
  <si>
    <t xml:space="preserve">Pedestrian crossings</t>
  </si>
  <si>
    <t xml:space="preserve">Superpassages</t>
  </si>
  <si>
    <t xml:space="preserve">Drainage inlets</t>
  </si>
  <si>
    <t xml:space="preserve">Escapes</t>
  </si>
  <si>
    <t xml:space="preserve">Culverts</t>
  </si>
  <si>
    <t xml:space="preserve">Power complex</t>
  </si>
  <si>
    <t xml:space="preserve">Headponds normal pond level</t>
  </si>
  <si>
    <t xml:space="preserve">Headponds live volume (two ponds combined)</t>
  </si>
  <si>
    <t xml:space="preserve">Mm3</t>
  </si>
  <si>
    <t xml:space="preserve">p.7: approx. 25.5 million m3</t>
  </si>
  <si>
    <t xml:space="preserve">Siphon spillway discharge capacity</t>
  </si>
  <si>
    <t xml:space="preserve">Siphon spillway crest level</t>
  </si>
  <si>
    <t xml:space="preserve">Intake - openings</t>
  </si>
  <si>
    <t xml:space="preserve">Intake - crest level</t>
  </si>
  <si>
    <t xml:space="preserve">South sill - openings</t>
  </si>
  <si>
    <t xml:space="preserve">South sill - level</t>
  </si>
  <si>
    <t xml:space="preserve">North sill - openings</t>
  </si>
  <si>
    <t xml:space="preserve">North sill - level</t>
  </si>
  <si>
    <t xml:space="preserve">Project</t>
  </si>
  <si>
    <t xml:space="preserve">Cost approved (PC-I, July 1994)</t>
  </si>
  <si>
    <t xml:space="preserve">million Rs</t>
  </si>
  <si>
    <t xml:space="preserve">Actual cost incurred</t>
  </si>
  <si>
    <t xml:space="preserve">EIRR</t>
  </si>
  <si>
    <t xml:space="preserve">FIRR</t>
  </si>
  <si>
    <t xml:space="preserve">Units 1-2 commissioned</t>
  </si>
  <si>
    <t xml:space="preserve">19 Aug 2003</t>
  </si>
  <si>
    <t xml:space="preserve">Unit 5 commissioned</t>
  </si>
  <si>
    <t xml:space="preserve">Apr 2004</t>
  </si>
  <si>
    <t xml:space="preserve">North headpond completed</t>
  </si>
  <si>
    <t xml:space="preserve">Dec 2004</t>
  </si>
  <si>
    <t xml:space="preserve">Legend: blue = value from brochure (editable); yellow rows = conflict/ambiguity. PDF page = page index in the attached file. p.5 duplicates p.4.</t>
  </si>
  <si>
    <t xml:space="preserve">Group</t>
  </si>
  <si>
    <t xml:space="preserve">Missing parameter</t>
  </si>
  <si>
    <t xml:space="preserve">Not in brochure</t>
  </si>
  <si>
    <t xml:space="preserve">Planned handling</t>
  </si>
  <si>
    <t xml:space="preserve">Generator</t>
  </si>
  <si>
    <t xml:space="preserve">Rated MVA and power factor</t>
  </si>
  <si>
    <t xml:space="preserve">Yes</t>
  </si>
  <si>
    <t xml:space="preserve">Typical textbook value, tagged Assumption, user-overwritable</t>
  </si>
  <si>
    <t xml:space="preserve">Rated voltage (brochure value unconfirmed)</t>
  </si>
  <si>
    <t xml:space="preserve">Speed / number of poles</t>
  </si>
  <si>
    <t xml:space="preserve">System frequency (50 Hz expected, not stated)</t>
  </si>
  <si>
    <t xml:space="preserve">Inertia constant H</t>
  </si>
  <si>
    <t xml:space="preserve">Reactances and time constants</t>
  </si>
  <si>
    <t xml:space="preserve">Excitation system data</t>
  </si>
  <si>
    <t xml:space="preserve">Turbine/governor</t>
  </si>
  <si>
    <t xml:space="preserve">Rated speed</t>
  </si>
  <si>
    <t xml:space="preserve">Runner diameter</t>
  </si>
  <si>
    <t xml:space="preserve">Efficiency curve</t>
  </si>
  <si>
    <t xml:space="preserve">Gate servo and governor parameters</t>
  </si>
  <si>
    <t xml:space="preserve">Water starting time</t>
  </si>
  <si>
    <t xml:space="preserve">Hydraulics</t>
  </si>
  <si>
    <t xml:space="preserve">Headpond surface area and level-volume curve</t>
  </si>
  <si>
    <t xml:space="preserve">Minimum operating level</t>
  </si>
  <si>
    <t xml:space="preserve">Tailwater rating curve</t>
  </si>
  <si>
    <t xml:space="preserve">Penstock losses and wave speed</t>
  </si>
  <si>
    <t xml:space="preserve">Channel roughness</t>
  </si>
  <si>
    <t xml:space="preserve">Tarbela release profile</t>
  </si>
  <si>
    <t xml:space="preserve">Grid/transformer</t>
  </si>
  <si>
    <t xml:space="preserve">Transformer impedance</t>
  </si>
  <si>
    <t xml:space="preserve">Tap ratio</t>
  </si>
  <si>
    <t xml:space="preserve">Grid short-circuit level</t>
  </si>
  <si>
    <t xml:space="preserve">Load profile</t>
  </si>
  <si>
    <t xml:space="preserve">Phase</t>
  </si>
  <si>
    <t xml:space="preserve">Deliverable</t>
  </si>
  <si>
    <t xml:space="preserve">Contents</t>
  </si>
  <si>
    <t xml:space="preserve">Test before moving on</t>
  </si>
  <si>
    <t xml:space="preserve">Data file</t>
  </si>
  <si>
    <t xml:space="preserve">data/brochure.json (each value tagged brochure/assumption + page), assumptions.md, PROGRESS.md</t>
  </si>
  <si>
    <t xml:space="preserve">Values match Brochure Data sheet</t>
  </si>
  <si>
    <t xml:space="preserve">Python state-space model, one unit</t>
  </si>
  <si>
    <t xml:space="preserve">Headpond level, penstock flow (rigid column), gate servo, rotor speed/angle; linearise to A,B,C,D</t>
  </si>
  <si>
    <t xml:space="preserve">Steady state P = rho g Q H eta approx 293 MW; eigenvalues stable; step responses plausible</t>
  </si>
  <si>
    <t xml:space="preserve">JS simulation engine</t>
  </si>
  <si>
    <t xml:space="preserve">RK4, 1-5 units switchable, PI governor</t>
  </si>
  <si>
    <t xml:space="preserve">Matches Python results within tolerance</t>
  </si>
  <si>
    <t xml:space="preserve">Dashboard</t>
  </si>
  <si>
    <t xml:space="preserve">MW, flow, pond level, speed, unit on/off, load-step controls</t>
  </si>
  <si>
    <t xml:space="preserve">Run scenarios, compare with Phase 1</t>
  </si>
  <si>
    <t xml:space="preserve">Three.js 3D scene</t>
  </si>
  <si>
    <t xml:space="preserve">Primitives sized from brochure data: barrage, channel (schematic scale), headponds, penstocks, powerhouse; driven by sim</t>
  </si>
  <si>
    <t xml:space="preserve">Visual check; sim-to-scene binding works</t>
  </si>
  <si>
    <t xml:space="preserve">Integration and report</t>
  </si>
  <si>
    <t xml:space="preserve">Validation notes, short report</t>
  </si>
  <si>
    <t xml:space="preserve">Full run-through</t>
  </si>
  <si>
    <t xml:space="preserve">Item</t>
  </si>
  <si>
    <t xml:space="preserve">Basis</t>
  </si>
  <si>
    <t xml:space="preserve">Water density</t>
  </si>
  <si>
    <t xml:space="preserve">kg/m3</t>
  </si>
  <si>
    <t xml:space="preserve">Assumption (standard value)</t>
  </si>
  <si>
    <t xml:space="preserve">Gravity</t>
  </si>
  <si>
    <t xml:space="preserve">m/s2</t>
  </si>
  <si>
    <t xml:space="preserve">Flow per unit, full gate</t>
  </si>
  <si>
    <t xml:space="preserve">Efficiency</t>
  </si>
  <si>
    <t xml:space="preserve">fraction</t>
  </si>
  <si>
    <t xml:space="preserve">Computed electrical output per unit</t>
  </si>
  <si>
    <t xml:space="preserve">Simulated: P = rho g Q H eta</t>
  </si>
  <si>
    <t xml:space="preserve">Brochure rated output per unit</t>
  </si>
  <si>
    <t xml:space="preserve">Brochure full-gate output</t>
  </si>
  <si>
    <t xml:space="preserve">Difference vs rated</t>
  </si>
  <si>
    <t xml:space="preserve">Calculated</t>
  </si>
  <si>
    <t xml:space="preserve">Difference vs full-gate</t>
  </si>
  <si>
    <t xml:space="preserve">Total plant (5 units, computed)</t>
  </si>
  <si>
    <t xml:space="preserve">Simulated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</si>
</sst>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6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3" t="n">
        <v>1450</v>
      </c>
      <c r="D2" s="2" t="s">
        <v>9</v>
      </c>
      <c r="E2" s="2" t="n">
        <v>4</v>
      </c>
      <c r="F2" s="2" t="s">
        <v>10</v>
      </c>
      <c r="G2" s="2" t="s">
        <v>11</v>
      </c>
    </row>
    <row r="3" customFormat="false" ht="15" hidden="false" customHeight="false" outlineLevel="0" collapsed="false">
      <c r="A3" s="2" t="s">
        <v>7</v>
      </c>
      <c r="B3" s="2" t="s">
        <v>12</v>
      </c>
      <c r="C3" s="3" t="n">
        <v>6600</v>
      </c>
      <c r="D3" s="2" t="s">
        <v>13</v>
      </c>
      <c r="E3" s="2" t="n">
        <v>4</v>
      </c>
      <c r="F3" s="2" t="s">
        <v>10</v>
      </c>
      <c r="G3" s="2"/>
    </row>
    <row r="4" customFormat="false" ht="15" hidden="false" customHeight="false" outlineLevel="0" collapsed="false">
      <c r="A4" s="2" t="s">
        <v>7</v>
      </c>
      <c r="B4" s="2" t="s">
        <v>14</v>
      </c>
      <c r="C4" s="3" t="n">
        <v>5</v>
      </c>
      <c r="D4" s="2" t="s">
        <v>15</v>
      </c>
      <c r="E4" s="2" t="n">
        <v>12</v>
      </c>
      <c r="F4" s="2" t="s">
        <v>10</v>
      </c>
      <c r="G4" s="2"/>
    </row>
    <row r="5" customFormat="false" ht="15" hidden="false" customHeight="false" outlineLevel="0" collapsed="false">
      <c r="A5" s="2" t="s">
        <v>7</v>
      </c>
      <c r="B5" s="2" t="s">
        <v>16</v>
      </c>
      <c r="C5" s="3" t="n">
        <v>290</v>
      </c>
      <c r="D5" s="2" t="s">
        <v>9</v>
      </c>
      <c r="E5" s="2" t="n">
        <v>17</v>
      </c>
      <c r="F5" s="2" t="s">
        <v>10</v>
      </c>
      <c r="G5" s="2" t="s">
        <v>17</v>
      </c>
    </row>
    <row r="6" customFormat="false" ht="15" hidden="false" customHeight="false" outlineLevel="0" collapsed="false">
      <c r="A6" s="4" t="s">
        <v>7</v>
      </c>
      <c r="B6" s="4" t="s">
        <v>18</v>
      </c>
      <c r="C6" s="5" t="n">
        <v>295</v>
      </c>
      <c r="D6" s="4" t="s">
        <v>9</v>
      </c>
      <c r="E6" s="4" t="n">
        <v>12</v>
      </c>
      <c r="F6" s="4" t="s">
        <v>19</v>
      </c>
      <c r="G6" s="4" t="s">
        <v>20</v>
      </c>
    </row>
    <row r="7" customFormat="false" ht="26.85" hidden="false" customHeight="false" outlineLevel="0" collapsed="false">
      <c r="A7" s="2" t="s">
        <v>7</v>
      </c>
      <c r="B7" s="2" t="s">
        <v>21</v>
      </c>
      <c r="C7" s="3" t="n">
        <v>76</v>
      </c>
      <c r="D7" s="2" t="s">
        <v>22</v>
      </c>
      <c r="E7" s="2" t="n">
        <v>4</v>
      </c>
      <c r="F7" s="2" t="s">
        <v>10</v>
      </c>
      <c r="G7" s="2" t="s">
        <v>23</v>
      </c>
    </row>
    <row r="8" customFormat="false" ht="15" hidden="false" customHeight="false" outlineLevel="0" collapsed="false">
      <c r="A8" s="2" t="s">
        <v>7</v>
      </c>
      <c r="B8" s="2" t="s">
        <v>24</v>
      </c>
      <c r="C8" s="3" t="n">
        <v>63</v>
      </c>
      <c r="D8" s="2" t="s">
        <v>25</v>
      </c>
      <c r="E8" s="2" t="n">
        <v>4</v>
      </c>
      <c r="F8" s="2" t="s">
        <v>10</v>
      </c>
      <c r="G8" s="2"/>
    </row>
    <row r="9" customFormat="false" ht="15" hidden="false" customHeight="false" outlineLevel="0" collapsed="false">
      <c r="A9" s="2" t="s">
        <v>7</v>
      </c>
      <c r="B9" s="2" t="s">
        <v>26</v>
      </c>
      <c r="C9" s="3" t="n">
        <v>69</v>
      </c>
      <c r="D9" s="2" t="s">
        <v>22</v>
      </c>
      <c r="E9" s="2" t="n">
        <v>17</v>
      </c>
      <c r="F9" s="2" t="s">
        <v>10</v>
      </c>
      <c r="G9" s="2"/>
    </row>
    <row r="10" customFormat="false" ht="15" hidden="false" customHeight="false" outlineLevel="0" collapsed="false">
      <c r="A10" s="2" t="s">
        <v>7</v>
      </c>
      <c r="B10" s="2" t="s">
        <v>27</v>
      </c>
      <c r="C10" s="3" t="n">
        <v>94</v>
      </c>
      <c r="D10" s="2" t="s">
        <v>28</v>
      </c>
      <c r="E10" s="2" t="n">
        <v>17</v>
      </c>
      <c r="F10" s="2" t="s">
        <v>10</v>
      </c>
      <c r="G10" s="2" t="s">
        <v>29</v>
      </c>
    </row>
    <row r="11" customFormat="false" ht="15" hidden="false" customHeight="false" outlineLevel="0" collapsed="false">
      <c r="A11" s="2" t="s">
        <v>7</v>
      </c>
      <c r="B11" s="2" t="s">
        <v>30</v>
      </c>
      <c r="C11" s="3" t="n">
        <v>400</v>
      </c>
      <c r="D11" s="2" t="s">
        <v>31</v>
      </c>
      <c r="E11" s="2" t="n">
        <v>17</v>
      </c>
      <c r="F11" s="2" t="s">
        <v>10</v>
      </c>
      <c r="G11" s="2"/>
    </row>
    <row r="12" customFormat="false" ht="15" hidden="false" customHeight="false" outlineLevel="0" collapsed="false">
      <c r="A12" s="2" t="s">
        <v>7</v>
      </c>
      <c r="B12" s="2" t="s">
        <v>32</v>
      </c>
      <c r="C12" s="3" t="n">
        <v>460</v>
      </c>
      <c r="D12" s="2" t="s">
        <v>31</v>
      </c>
      <c r="E12" s="2" t="n">
        <v>17</v>
      </c>
      <c r="F12" s="2" t="s">
        <v>10</v>
      </c>
      <c r="G12" s="2" t="s">
        <v>33</v>
      </c>
    </row>
    <row r="13" customFormat="false" ht="15" hidden="false" customHeight="false" outlineLevel="0" collapsed="false">
      <c r="A13" s="2" t="s">
        <v>7</v>
      </c>
      <c r="B13" s="2" t="s">
        <v>34</v>
      </c>
      <c r="C13" s="3" t="s">
        <v>35</v>
      </c>
      <c r="D13" s="2" t="s">
        <v>15</v>
      </c>
      <c r="E13" s="2" t="n">
        <v>12</v>
      </c>
      <c r="F13" s="2" t="s">
        <v>10</v>
      </c>
      <c r="G13" s="2"/>
    </row>
    <row r="14" customFormat="false" ht="15" hidden="false" customHeight="false" outlineLevel="0" collapsed="false">
      <c r="A14" s="2" t="s">
        <v>7</v>
      </c>
      <c r="B14" s="2" t="s">
        <v>36</v>
      </c>
      <c r="C14" s="3" t="n">
        <v>4</v>
      </c>
      <c r="D14" s="2" t="s">
        <v>37</v>
      </c>
      <c r="E14" s="2" t="n">
        <v>7</v>
      </c>
      <c r="F14" s="2" t="s">
        <v>10</v>
      </c>
      <c r="G14" s="2" t="s">
        <v>38</v>
      </c>
    </row>
    <row r="15" customFormat="false" ht="15" hidden="false" customHeight="false" outlineLevel="0" collapsed="false">
      <c r="A15" s="2" t="s">
        <v>39</v>
      </c>
      <c r="B15" s="2" t="s">
        <v>40</v>
      </c>
      <c r="C15" s="3" t="n">
        <v>107.5</v>
      </c>
      <c r="D15" s="2" t="s">
        <v>41</v>
      </c>
      <c r="E15" s="2" t="n">
        <v>17</v>
      </c>
      <c r="F15" s="2" t="s">
        <v>10</v>
      </c>
      <c r="G15" s="2" t="s">
        <v>42</v>
      </c>
    </row>
    <row r="16" customFormat="false" ht="15" hidden="false" customHeight="false" outlineLevel="0" collapsed="false">
      <c r="A16" s="2" t="s">
        <v>39</v>
      </c>
      <c r="B16" s="2" t="s">
        <v>43</v>
      </c>
      <c r="C16" s="3" t="n">
        <v>5</v>
      </c>
      <c r="D16" s="2" t="s">
        <v>15</v>
      </c>
      <c r="E16" s="2" t="n">
        <v>17</v>
      </c>
      <c r="F16" s="2" t="s">
        <v>10</v>
      </c>
      <c r="G16" s="2"/>
    </row>
    <row r="17" customFormat="false" ht="15" hidden="false" customHeight="false" outlineLevel="0" collapsed="false">
      <c r="A17" s="4" t="s">
        <v>39</v>
      </c>
      <c r="B17" s="4" t="s">
        <v>44</v>
      </c>
      <c r="C17" s="5" t="s">
        <v>45</v>
      </c>
      <c r="D17" s="4" t="s">
        <v>46</v>
      </c>
      <c r="E17" s="4" t="n">
        <v>12</v>
      </c>
      <c r="F17" s="4" t="s">
        <v>47</v>
      </c>
      <c r="G17" s="4" t="s">
        <v>48</v>
      </c>
    </row>
    <row r="18" customFormat="false" ht="15" hidden="false" customHeight="false" outlineLevel="0" collapsed="false">
      <c r="A18" s="2" t="s">
        <v>39</v>
      </c>
      <c r="B18" s="2" t="s">
        <v>49</v>
      </c>
      <c r="C18" s="3" t="n">
        <v>6</v>
      </c>
      <c r="D18" s="2" t="s">
        <v>15</v>
      </c>
      <c r="E18" s="2" t="n">
        <v>12</v>
      </c>
      <c r="F18" s="2" t="s">
        <v>10</v>
      </c>
      <c r="G18" s="2"/>
    </row>
    <row r="19" customFormat="false" ht="15" hidden="false" customHeight="false" outlineLevel="0" collapsed="false">
      <c r="A19" s="2" t="s">
        <v>39</v>
      </c>
      <c r="B19" s="2" t="s">
        <v>50</v>
      </c>
      <c r="C19" s="3" t="s">
        <v>51</v>
      </c>
      <c r="D19" s="2" t="s">
        <v>15</v>
      </c>
      <c r="E19" s="2" t="n">
        <v>12</v>
      </c>
      <c r="F19" s="2" t="s">
        <v>10</v>
      </c>
      <c r="G19" s="2"/>
    </row>
    <row r="20" customFormat="false" ht="15" hidden="false" customHeight="false" outlineLevel="0" collapsed="false">
      <c r="A20" s="2" t="s">
        <v>39</v>
      </c>
      <c r="B20" s="2" t="s">
        <v>52</v>
      </c>
      <c r="C20" s="3" t="s">
        <v>53</v>
      </c>
      <c r="D20" s="2" t="s">
        <v>46</v>
      </c>
      <c r="E20" s="2" t="n">
        <v>17</v>
      </c>
      <c r="F20" s="2" t="s">
        <v>10</v>
      </c>
      <c r="G20" s="2" t="s">
        <v>54</v>
      </c>
    </row>
    <row r="21" customFormat="false" ht="15" hidden="false" customHeight="false" outlineLevel="0" collapsed="false">
      <c r="A21" s="2" t="s">
        <v>39</v>
      </c>
      <c r="B21" s="2" t="s">
        <v>55</v>
      </c>
      <c r="C21" s="3" t="n">
        <v>12</v>
      </c>
      <c r="D21" s="2" t="s">
        <v>15</v>
      </c>
      <c r="E21" s="2" t="n">
        <v>17</v>
      </c>
      <c r="F21" s="2" t="s">
        <v>10</v>
      </c>
      <c r="G21" s="2" t="s">
        <v>56</v>
      </c>
    </row>
    <row r="22" customFormat="false" ht="15" hidden="false" customHeight="false" outlineLevel="0" collapsed="false">
      <c r="A22" s="2" t="s">
        <v>39</v>
      </c>
      <c r="B22" s="2" t="s">
        <v>57</v>
      </c>
      <c r="C22" s="3" t="s">
        <v>58</v>
      </c>
      <c r="D22" s="2" t="s">
        <v>15</v>
      </c>
      <c r="E22" s="2" t="n">
        <v>17</v>
      </c>
      <c r="F22" s="2" t="s">
        <v>10</v>
      </c>
      <c r="G22" s="2"/>
    </row>
    <row r="23" customFormat="false" ht="15" hidden="false" customHeight="false" outlineLevel="0" collapsed="false">
      <c r="A23" s="2" t="s">
        <v>59</v>
      </c>
      <c r="B23" s="2" t="s">
        <v>60</v>
      </c>
      <c r="C23" s="3" t="n">
        <v>5</v>
      </c>
      <c r="D23" s="2" t="s">
        <v>15</v>
      </c>
      <c r="E23" s="2" t="n">
        <v>12</v>
      </c>
      <c r="F23" s="2" t="s">
        <v>10</v>
      </c>
      <c r="G23" s="2"/>
    </row>
    <row r="24" customFormat="false" ht="15" hidden="false" customHeight="false" outlineLevel="0" collapsed="false">
      <c r="A24" s="2" t="s">
        <v>59</v>
      </c>
      <c r="B24" s="2" t="s">
        <v>61</v>
      </c>
      <c r="C24" s="3" t="n">
        <v>10.6</v>
      </c>
      <c r="D24" s="2" t="s">
        <v>22</v>
      </c>
      <c r="E24" s="2" t="n">
        <v>12</v>
      </c>
      <c r="F24" s="2" t="s">
        <v>10</v>
      </c>
      <c r="G24" s="2"/>
    </row>
    <row r="25" customFormat="false" ht="15" hidden="false" customHeight="false" outlineLevel="0" collapsed="false">
      <c r="A25" s="2" t="s">
        <v>59</v>
      </c>
      <c r="B25" s="2" t="s">
        <v>62</v>
      </c>
      <c r="C25" s="3" t="n">
        <v>222</v>
      </c>
      <c r="D25" s="2" t="s">
        <v>22</v>
      </c>
      <c r="E25" s="2" t="n">
        <v>12</v>
      </c>
      <c r="F25" s="2" t="s">
        <v>10</v>
      </c>
      <c r="G25" s="2"/>
    </row>
    <row r="26" customFormat="false" ht="15" hidden="false" customHeight="false" outlineLevel="0" collapsed="false">
      <c r="A26" s="2" t="s">
        <v>63</v>
      </c>
      <c r="B26" s="2" t="s">
        <v>64</v>
      </c>
      <c r="C26" s="3" t="n">
        <v>340</v>
      </c>
      <c r="D26" s="2" t="s">
        <v>22</v>
      </c>
      <c r="E26" s="2" t="n">
        <v>12</v>
      </c>
      <c r="F26" s="2" t="s">
        <v>10</v>
      </c>
      <c r="G26" s="2"/>
    </row>
    <row r="27" customFormat="false" ht="15" hidden="false" customHeight="false" outlineLevel="0" collapsed="false">
      <c r="A27" s="2" t="s">
        <v>63</v>
      </c>
      <c r="B27" s="2" t="s">
        <v>65</v>
      </c>
      <c r="C27" s="3" t="n">
        <v>18700</v>
      </c>
      <c r="D27" s="2" t="s">
        <v>31</v>
      </c>
      <c r="E27" s="2" t="n">
        <v>12</v>
      </c>
      <c r="F27" s="2" t="s">
        <v>10</v>
      </c>
      <c r="G27" s="2"/>
    </row>
    <row r="28" customFormat="false" ht="15" hidden="false" customHeight="false" outlineLevel="0" collapsed="false">
      <c r="A28" s="2" t="s">
        <v>63</v>
      </c>
      <c r="B28" s="2" t="s">
        <v>66</v>
      </c>
      <c r="C28" s="3" t="n">
        <v>46200</v>
      </c>
      <c r="D28" s="2" t="s">
        <v>31</v>
      </c>
      <c r="E28" s="2" t="n">
        <v>12</v>
      </c>
      <c r="F28" s="2" t="s">
        <v>10</v>
      </c>
      <c r="G28" s="2"/>
    </row>
    <row r="29" customFormat="false" ht="15" hidden="false" customHeight="false" outlineLevel="0" collapsed="false">
      <c r="A29" s="2" t="s">
        <v>63</v>
      </c>
      <c r="B29" s="2" t="s">
        <v>67</v>
      </c>
      <c r="C29" s="3" t="n">
        <v>20</v>
      </c>
      <c r="D29" s="2" t="s">
        <v>15</v>
      </c>
      <c r="E29" s="2" t="n">
        <v>12</v>
      </c>
      <c r="F29" s="2" t="s">
        <v>10</v>
      </c>
      <c r="G29" s="2"/>
    </row>
    <row r="30" customFormat="false" ht="15" hidden="false" customHeight="false" outlineLevel="0" collapsed="false">
      <c r="A30" s="2" t="s">
        <v>63</v>
      </c>
      <c r="B30" s="2" t="s">
        <v>68</v>
      </c>
      <c r="C30" s="3" t="n">
        <v>332.2</v>
      </c>
      <c r="D30" s="2" t="s">
        <v>22</v>
      </c>
      <c r="E30" s="2" t="n">
        <v>12</v>
      </c>
      <c r="F30" s="2" t="s">
        <v>10</v>
      </c>
      <c r="G30" s="2"/>
    </row>
    <row r="31" customFormat="false" ht="15" hidden="false" customHeight="false" outlineLevel="0" collapsed="false">
      <c r="A31" s="2" t="s">
        <v>63</v>
      </c>
      <c r="B31" s="2" t="s">
        <v>69</v>
      </c>
      <c r="C31" s="3" t="n">
        <v>8</v>
      </c>
      <c r="D31" s="2" t="s">
        <v>15</v>
      </c>
      <c r="E31" s="2" t="n">
        <v>12</v>
      </c>
      <c r="F31" s="2" t="s">
        <v>10</v>
      </c>
      <c r="G31" s="2"/>
    </row>
    <row r="32" customFormat="false" ht="15" hidden="false" customHeight="false" outlineLevel="0" collapsed="false">
      <c r="A32" s="2" t="s">
        <v>63</v>
      </c>
      <c r="B32" s="2" t="s">
        <v>70</v>
      </c>
      <c r="C32" s="3" t="n">
        <v>333</v>
      </c>
      <c r="D32" s="2" t="s">
        <v>22</v>
      </c>
      <c r="E32" s="2" t="n">
        <v>12</v>
      </c>
      <c r="F32" s="2" t="s">
        <v>10</v>
      </c>
      <c r="G32" s="2"/>
    </row>
    <row r="33" customFormat="false" ht="15" hidden="false" customHeight="false" outlineLevel="0" collapsed="false">
      <c r="A33" s="2" t="s">
        <v>63</v>
      </c>
      <c r="B33" s="2" t="s">
        <v>71</v>
      </c>
      <c r="C33" s="3" t="n">
        <v>8</v>
      </c>
      <c r="D33" s="2" t="s">
        <v>15</v>
      </c>
      <c r="E33" s="2" t="n">
        <v>12</v>
      </c>
      <c r="F33" s="2" t="s">
        <v>10</v>
      </c>
      <c r="G33" s="2"/>
    </row>
    <row r="34" customFormat="false" ht="15" hidden="false" customHeight="false" outlineLevel="0" collapsed="false">
      <c r="A34" s="2" t="s">
        <v>63</v>
      </c>
      <c r="B34" s="2" t="s">
        <v>72</v>
      </c>
      <c r="C34" s="3" t="n">
        <v>326</v>
      </c>
      <c r="D34" s="2" t="s">
        <v>22</v>
      </c>
      <c r="E34" s="2" t="n">
        <v>12</v>
      </c>
      <c r="F34" s="2" t="s">
        <v>10</v>
      </c>
      <c r="G34" s="2"/>
    </row>
    <row r="35" customFormat="false" ht="15" hidden="false" customHeight="false" outlineLevel="0" collapsed="false">
      <c r="A35" s="2" t="s">
        <v>73</v>
      </c>
      <c r="B35" s="2" t="s">
        <v>74</v>
      </c>
      <c r="C35" s="3" t="n">
        <v>1600</v>
      </c>
      <c r="D35" s="2" t="s">
        <v>31</v>
      </c>
      <c r="E35" s="2" t="n">
        <v>12</v>
      </c>
      <c r="F35" s="2" t="s">
        <v>10</v>
      </c>
      <c r="G35" s="2"/>
    </row>
    <row r="36" customFormat="false" ht="15" hidden="false" customHeight="false" outlineLevel="0" collapsed="false">
      <c r="A36" s="2" t="s">
        <v>73</v>
      </c>
      <c r="B36" s="2" t="s">
        <v>62</v>
      </c>
      <c r="C36" s="3" t="n">
        <v>51906</v>
      </c>
      <c r="D36" s="2" t="s">
        <v>22</v>
      </c>
      <c r="E36" s="2" t="n">
        <v>12</v>
      </c>
      <c r="F36" s="2" t="s">
        <v>10</v>
      </c>
      <c r="G36" s="2"/>
    </row>
    <row r="37" customFormat="false" ht="15" hidden="false" customHeight="false" outlineLevel="0" collapsed="false">
      <c r="A37" s="2" t="s">
        <v>73</v>
      </c>
      <c r="B37" s="2" t="s">
        <v>75</v>
      </c>
      <c r="C37" s="3" t="s">
        <v>76</v>
      </c>
      <c r="D37" s="2" t="s">
        <v>15</v>
      </c>
      <c r="E37" s="2" t="n">
        <v>12</v>
      </c>
      <c r="F37" s="2" t="s">
        <v>10</v>
      </c>
      <c r="G37" s="2"/>
    </row>
    <row r="38" customFormat="false" ht="15" hidden="false" customHeight="false" outlineLevel="0" collapsed="false">
      <c r="A38" s="2" t="s">
        <v>73</v>
      </c>
      <c r="B38" s="2" t="s">
        <v>77</v>
      </c>
      <c r="C38" s="3" t="n">
        <v>9</v>
      </c>
      <c r="D38" s="2" t="s">
        <v>22</v>
      </c>
      <c r="E38" s="2" t="n">
        <v>12</v>
      </c>
      <c r="F38" s="2" t="s">
        <v>10</v>
      </c>
      <c r="G38" s="2"/>
    </row>
    <row r="39" customFormat="false" ht="15" hidden="false" customHeight="false" outlineLevel="0" collapsed="false">
      <c r="A39" s="2" t="s">
        <v>73</v>
      </c>
      <c r="B39" s="2" t="s">
        <v>78</v>
      </c>
      <c r="C39" s="3" t="n">
        <v>58.4</v>
      </c>
      <c r="D39" s="2" t="s">
        <v>22</v>
      </c>
      <c r="E39" s="2" t="n">
        <v>12</v>
      </c>
      <c r="F39" s="2" t="s">
        <v>10</v>
      </c>
      <c r="G39" s="2"/>
    </row>
    <row r="40" customFormat="false" ht="15" hidden="false" customHeight="false" outlineLevel="0" collapsed="false">
      <c r="A40" s="2" t="s">
        <v>73</v>
      </c>
      <c r="B40" s="2" t="s">
        <v>79</v>
      </c>
      <c r="C40" s="3" t="s">
        <v>80</v>
      </c>
      <c r="D40" s="2" t="s">
        <v>15</v>
      </c>
      <c r="E40" s="2" t="n">
        <v>12</v>
      </c>
      <c r="F40" s="2" t="s">
        <v>10</v>
      </c>
      <c r="G40" s="2"/>
    </row>
    <row r="41" customFormat="false" ht="15" hidden="false" customHeight="false" outlineLevel="0" collapsed="false">
      <c r="A41" s="2" t="s">
        <v>73</v>
      </c>
      <c r="B41" s="2" t="s">
        <v>81</v>
      </c>
      <c r="C41" s="3" t="n">
        <v>135</v>
      </c>
      <c r="D41" s="2" t="s">
        <v>82</v>
      </c>
      <c r="E41" s="2" t="n">
        <v>12</v>
      </c>
      <c r="F41" s="2" t="s">
        <v>10</v>
      </c>
      <c r="G41" s="2"/>
    </row>
    <row r="42" customFormat="false" ht="15" hidden="false" customHeight="false" outlineLevel="0" collapsed="false">
      <c r="A42" s="2" t="s">
        <v>73</v>
      </c>
      <c r="B42" s="2" t="s">
        <v>83</v>
      </c>
      <c r="C42" s="3" t="n">
        <v>34</v>
      </c>
      <c r="D42" s="2" t="s">
        <v>15</v>
      </c>
      <c r="E42" s="2" t="n">
        <v>12</v>
      </c>
      <c r="F42" s="2" t="s">
        <v>10</v>
      </c>
      <c r="G42" s="2"/>
    </row>
    <row r="43" customFormat="false" ht="15" hidden="false" customHeight="false" outlineLevel="0" collapsed="false">
      <c r="A43" s="2" t="s">
        <v>73</v>
      </c>
      <c r="B43" s="2" t="s">
        <v>84</v>
      </c>
      <c r="C43" s="3" t="n">
        <v>1</v>
      </c>
      <c r="D43" s="2" t="s">
        <v>15</v>
      </c>
      <c r="E43" s="2" t="n">
        <v>12</v>
      </c>
      <c r="F43" s="2" t="s">
        <v>10</v>
      </c>
      <c r="G43" s="2"/>
    </row>
    <row r="44" customFormat="false" ht="15" hidden="false" customHeight="false" outlineLevel="0" collapsed="false">
      <c r="A44" s="2" t="s">
        <v>73</v>
      </c>
      <c r="B44" s="2" t="s">
        <v>85</v>
      </c>
      <c r="C44" s="3" t="n">
        <v>12</v>
      </c>
      <c r="D44" s="2" t="s">
        <v>15</v>
      </c>
      <c r="E44" s="2" t="n">
        <v>12</v>
      </c>
      <c r="F44" s="2" t="s">
        <v>10</v>
      </c>
      <c r="G44" s="2"/>
    </row>
    <row r="45" customFormat="false" ht="15" hidden="false" customHeight="false" outlineLevel="0" collapsed="false">
      <c r="A45" s="2" t="s">
        <v>73</v>
      </c>
      <c r="B45" s="2" t="s">
        <v>86</v>
      </c>
      <c r="C45" s="3" t="n">
        <v>27</v>
      </c>
      <c r="D45" s="2" t="s">
        <v>15</v>
      </c>
      <c r="E45" s="2" t="n">
        <v>12</v>
      </c>
      <c r="F45" s="2" t="s">
        <v>10</v>
      </c>
      <c r="G45" s="2"/>
    </row>
    <row r="46" customFormat="false" ht="15" hidden="false" customHeight="false" outlineLevel="0" collapsed="false">
      <c r="A46" s="2" t="s">
        <v>73</v>
      </c>
      <c r="B46" s="2" t="s">
        <v>87</v>
      </c>
      <c r="C46" s="3" t="n">
        <v>24</v>
      </c>
      <c r="D46" s="2" t="s">
        <v>15</v>
      </c>
      <c r="E46" s="2" t="n">
        <v>12</v>
      </c>
      <c r="F46" s="2" t="s">
        <v>10</v>
      </c>
      <c r="G46" s="2"/>
    </row>
    <row r="47" customFormat="false" ht="15" hidden="false" customHeight="false" outlineLevel="0" collapsed="false">
      <c r="A47" s="2" t="s">
        <v>73</v>
      </c>
      <c r="B47" s="2" t="s">
        <v>88</v>
      </c>
      <c r="C47" s="3" t="n">
        <v>5</v>
      </c>
      <c r="D47" s="2" t="s">
        <v>15</v>
      </c>
      <c r="E47" s="2" t="n">
        <v>12</v>
      </c>
      <c r="F47" s="2" t="s">
        <v>10</v>
      </c>
      <c r="G47" s="2"/>
    </row>
    <row r="48" customFormat="false" ht="15" hidden="false" customHeight="false" outlineLevel="0" collapsed="false">
      <c r="A48" s="2" t="s">
        <v>73</v>
      </c>
      <c r="B48" s="2" t="s">
        <v>89</v>
      </c>
      <c r="C48" s="3" t="n">
        <v>1</v>
      </c>
      <c r="D48" s="2" t="s">
        <v>15</v>
      </c>
      <c r="E48" s="2" t="n">
        <v>12</v>
      </c>
      <c r="F48" s="2" t="s">
        <v>10</v>
      </c>
      <c r="G48" s="2"/>
    </row>
    <row r="49" customFormat="false" ht="15" hidden="false" customHeight="false" outlineLevel="0" collapsed="false">
      <c r="A49" s="2" t="s">
        <v>90</v>
      </c>
      <c r="B49" s="2" t="s">
        <v>91</v>
      </c>
      <c r="C49" s="3" t="n">
        <v>334</v>
      </c>
      <c r="D49" s="2" t="s">
        <v>22</v>
      </c>
      <c r="E49" s="2" t="n">
        <v>12</v>
      </c>
      <c r="F49" s="2" t="s">
        <v>10</v>
      </c>
      <c r="G49" s="2"/>
    </row>
    <row r="50" customFormat="false" ht="15" hidden="false" customHeight="false" outlineLevel="0" collapsed="false">
      <c r="A50" s="2" t="s">
        <v>90</v>
      </c>
      <c r="B50" s="2" t="s">
        <v>92</v>
      </c>
      <c r="C50" s="3" t="n">
        <v>25.5</v>
      </c>
      <c r="D50" s="2" t="s">
        <v>93</v>
      </c>
      <c r="E50" s="2" t="n">
        <v>12</v>
      </c>
      <c r="F50" s="2" t="s">
        <v>10</v>
      </c>
      <c r="G50" s="2" t="s">
        <v>94</v>
      </c>
    </row>
    <row r="51" customFormat="false" ht="15" hidden="false" customHeight="false" outlineLevel="0" collapsed="false">
      <c r="A51" s="2" t="s">
        <v>90</v>
      </c>
      <c r="B51" s="2" t="s">
        <v>95</v>
      </c>
      <c r="C51" s="3" t="n">
        <v>1600</v>
      </c>
      <c r="D51" s="2" t="s">
        <v>31</v>
      </c>
      <c r="E51" s="2" t="n">
        <v>12</v>
      </c>
      <c r="F51" s="2" t="s">
        <v>10</v>
      </c>
      <c r="G51" s="2"/>
    </row>
    <row r="52" customFormat="false" ht="15" hidden="false" customHeight="false" outlineLevel="0" collapsed="false">
      <c r="A52" s="2" t="s">
        <v>90</v>
      </c>
      <c r="B52" s="2" t="s">
        <v>96</v>
      </c>
      <c r="C52" s="3" t="n">
        <v>334.5</v>
      </c>
      <c r="D52" s="2" t="s">
        <v>22</v>
      </c>
      <c r="E52" s="2" t="n">
        <v>12</v>
      </c>
      <c r="F52" s="2" t="s">
        <v>10</v>
      </c>
      <c r="G52" s="2"/>
    </row>
    <row r="53" customFormat="false" ht="15" hidden="false" customHeight="false" outlineLevel="0" collapsed="false">
      <c r="A53" s="2" t="s">
        <v>90</v>
      </c>
      <c r="B53" s="2" t="s">
        <v>97</v>
      </c>
      <c r="C53" s="3" t="n">
        <v>10</v>
      </c>
      <c r="D53" s="2" t="s">
        <v>15</v>
      </c>
      <c r="E53" s="2" t="n">
        <v>12</v>
      </c>
      <c r="F53" s="2" t="s">
        <v>10</v>
      </c>
      <c r="G53" s="2"/>
    </row>
    <row r="54" customFormat="false" ht="15" hidden="false" customHeight="false" outlineLevel="0" collapsed="false">
      <c r="A54" s="2" t="s">
        <v>90</v>
      </c>
      <c r="B54" s="2" t="s">
        <v>98</v>
      </c>
      <c r="C54" s="3" t="n">
        <v>305.5</v>
      </c>
      <c r="D54" s="2" t="s">
        <v>22</v>
      </c>
      <c r="E54" s="2" t="n">
        <v>12</v>
      </c>
      <c r="F54" s="2" t="s">
        <v>10</v>
      </c>
      <c r="G54" s="2"/>
    </row>
    <row r="55" customFormat="false" ht="15" hidden="false" customHeight="false" outlineLevel="0" collapsed="false">
      <c r="A55" s="2" t="s">
        <v>90</v>
      </c>
      <c r="B55" s="2" t="s">
        <v>99</v>
      </c>
      <c r="C55" s="3" t="n">
        <v>3</v>
      </c>
      <c r="D55" s="2" t="s">
        <v>15</v>
      </c>
      <c r="E55" s="2" t="n">
        <v>12</v>
      </c>
      <c r="F55" s="2" t="s">
        <v>10</v>
      </c>
      <c r="G55" s="2"/>
    </row>
    <row r="56" customFormat="false" ht="15" hidden="false" customHeight="false" outlineLevel="0" collapsed="false">
      <c r="A56" s="2" t="s">
        <v>90</v>
      </c>
      <c r="B56" s="2" t="s">
        <v>100</v>
      </c>
      <c r="C56" s="3" t="n">
        <v>323</v>
      </c>
      <c r="D56" s="2" t="s">
        <v>22</v>
      </c>
      <c r="E56" s="2" t="n">
        <v>12</v>
      </c>
      <c r="F56" s="2" t="s">
        <v>10</v>
      </c>
      <c r="G56" s="2"/>
    </row>
    <row r="57" customFormat="false" ht="15" hidden="false" customHeight="false" outlineLevel="0" collapsed="false">
      <c r="A57" s="2" t="s">
        <v>90</v>
      </c>
      <c r="B57" s="2" t="s">
        <v>101</v>
      </c>
      <c r="C57" s="3" t="n">
        <v>10</v>
      </c>
      <c r="D57" s="2" t="s">
        <v>15</v>
      </c>
      <c r="E57" s="2" t="n">
        <v>12</v>
      </c>
      <c r="F57" s="2" t="s">
        <v>10</v>
      </c>
      <c r="G57" s="2"/>
    </row>
    <row r="58" customFormat="false" ht="15" hidden="false" customHeight="false" outlineLevel="0" collapsed="false">
      <c r="A58" s="2" t="s">
        <v>90</v>
      </c>
      <c r="B58" s="2" t="s">
        <v>102</v>
      </c>
      <c r="C58" s="3" t="n">
        <v>321</v>
      </c>
      <c r="D58" s="2" t="s">
        <v>22</v>
      </c>
      <c r="E58" s="2" t="n">
        <v>12</v>
      </c>
      <c r="F58" s="2" t="s">
        <v>10</v>
      </c>
      <c r="G58" s="2"/>
    </row>
    <row r="59" customFormat="false" ht="15" hidden="false" customHeight="false" outlineLevel="0" collapsed="false">
      <c r="A59" s="2" t="s">
        <v>103</v>
      </c>
      <c r="B59" s="2" t="s">
        <v>104</v>
      </c>
      <c r="C59" s="3" t="n">
        <v>89840</v>
      </c>
      <c r="D59" s="2" t="s">
        <v>105</v>
      </c>
      <c r="E59" s="2" t="n">
        <v>13</v>
      </c>
      <c r="F59" s="2" t="s">
        <v>10</v>
      </c>
      <c r="G59" s="2"/>
    </row>
    <row r="60" customFormat="false" ht="15" hidden="false" customHeight="false" outlineLevel="0" collapsed="false">
      <c r="A60" s="2" t="s">
        <v>103</v>
      </c>
      <c r="B60" s="2" t="s">
        <v>106</v>
      </c>
      <c r="C60" s="3" t="n">
        <v>96957</v>
      </c>
      <c r="D60" s="2" t="s">
        <v>105</v>
      </c>
      <c r="E60" s="2" t="n">
        <v>13</v>
      </c>
      <c r="F60" s="2" t="s">
        <v>10</v>
      </c>
      <c r="G60" s="2"/>
    </row>
    <row r="61" customFormat="false" ht="15" hidden="false" customHeight="false" outlineLevel="0" collapsed="false">
      <c r="A61" s="2" t="s">
        <v>103</v>
      </c>
      <c r="B61" s="2" t="s">
        <v>107</v>
      </c>
      <c r="C61" s="3" t="n">
        <v>22.19</v>
      </c>
      <c r="D61" s="2" t="s">
        <v>28</v>
      </c>
      <c r="E61" s="2" t="n">
        <v>13</v>
      </c>
      <c r="F61" s="2" t="s">
        <v>10</v>
      </c>
      <c r="G61" s="2"/>
    </row>
    <row r="62" customFormat="false" ht="15" hidden="false" customHeight="false" outlineLevel="0" collapsed="false">
      <c r="A62" s="2" t="s">
        <v>103</v>
      </c>
      <c r="B62" s="2" t="s">
        <v>108</v>
      </c>
      <c r="C62" s="3" t="n">
        <v>13.76</v>
      </c>
      <c r="D62" s="2" t="s">
        <v>28</v>
      </c>
      <c r="E62" s="2" t="n">
        <v>13</v>
      </c>
      <c r="F62" s="2" t="s">
        <v>10</v>
      </c>
      <c r="G62" s="2"/>
    </row>
    <row r="63" customFormat="false" ht="15" hidden="false" customHeight="false" outlineLevel="0" collapsed="false">
      <c r="A63" s="2" t="s">
        <v>103</v>
      </c>
      <c r="B63" s="2" t="s">
        <v>109</v>
      </c>
      <c r="C63" s="3" t="s">
        <v>110</v>
      </c>
      <c r="D63" s="2" t="s">
        <v>15</v>
      </c>
      <c r="E63" s="2" t="n">
        <v>15</v>
      </c>
      <c r="F63" s="2" t="s">
        <v>10</v>
      </c>
      <c r="G63" s="2"/>
    </row>
    <row r="64" customFormat="false" ht="15" hidden="false" customHeight="false" outlineLevel="0" collapsed="false">
      <c r="A64" s="2" t="s">
        <v>103</v>
      </c>
      <c r="B64" s="2" t="s">
        <v>111</v>
      </c>
      <c r="C64" s="3" t="s">
        <v>112</v>
      </c>
      <c r="D64" s="2" t="s">
        <v>15</v>
      </c>
      <c r="E64" s="2" t="n">
        <v>13</v>
      </c>
      <c r="F64" s="2" t="s">
        <v>10</v>
      </c>
      <c r="G64" s="2"/>
    </row>
    <row r="65" customFormat="false" ht="15" hidden="false" customHeight="false" outlineLevel="0" collapsed="false">
      <c r="A65" s="2" t="s">
        <v>103</v>
      </c>
      <c r="B65" s="2" t="s">
        <v>113</v>
      </c>
      <c r="C65" s="3" t="s">
        <v>114</v>
      </c>
      <c r="D65" s="2" t="s">
        <v>15</v>
      </c>
      <c r="E65" s="2" t="n">
        <v>13</v>
      </c>
      <c r="F65" s="2" t="s">
        <v>10</v>
      </c>
      <c r="G65" s="2"/>
    </row>
    <row r="67" customFormat="false" ht="15" hidden="false" customHeight="false" outlineLevel="0" collapsed="false">
      <c r="A67" s="6" t="s">
        <v>115</v>
      </c>
    </row>
  </sheetData>
  <autoFilter ref="A1:G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56"/>
  </cols>
  <sheetData>
    <row r="1" customFormat="false" ht="26.85" hidden="false" customHeight="false" outlineLevel="0" collapsed="false">
      <c r="A1" s="1" t="s">
        <v>116</v>
      </c>
      <c r="B1" s="1" t="s">
        <v>117</v>
      </c>
      <c r="C1" s="1" t="s">
        <v>118</v>
      </c>
      <c r="D1" s="1" t="s">
        <v>119</v>
      </c>
    </row>
    <row r="2" customFormat="false" ht="26.85" hidden="false" customHeight="false" outlineLevel="0" collapsed="false">
      <c r="A2" s="2" t="s">
        <v>120</v>
      </c>
      <c r="B2" s="2" t="s">
        <v>121</v>
      </c>
      <c r="C2" s="2" t="s">
        <v>122</v>
      </c>
      <c r="D2" s="2" t="s">
        <v>123</v>
      </c>
    </row>
    <row r="3" customFormat="false" ht="26.85" hidden="false" customHeight="false" outlineLevel="0" collapsed="false">
      <c r="A3" s="2" t="s">
        <v>120</v>
      </c>
      <c r="B3" s="2" t="s">
        <v>124</v>
      </c>
      <c r="C3" s="2" t="s">
        <v>122</v>
      </c>
      <c r="D3" s="2" t="s">
        <v>123</v>
      </c>
    </row>
    <row r="4" customFormat="false" ht="26.85" hidden="false" customHeight="false" outlineLevel="0" collapsed="false">
      <c r="A4" s="2" t="s">
        <v>120</v>
      </c>
      <c r="B4" s="2" t="s">
        <v>125</v>
      </c>
      <c r="C4" s="2" t="s">
        <v>122</v>
      </c>
      <c r="D4" s="2" t="s">
        <v>123</v>
      </c>
    </row>
    <row r="5" customFormat="false" ht="26.85" hidden="false" customHeight="false" outlineLevel="0" collapsed="false">
      <c r="A5" s="2" t="s">
        <v>120</v>
      </c>
      <c r="B5" s="2" t="s">
        <v>126</v>
      </c>
      <c r="C5" s="2" t="s">
        <v>122</v>
      </c>
      <c r="D5" s="2" t="s">
        <v>123</v>
      </c>
    </row>
    <row r="6" customFormat="false" ht="26.85" hidden="false" customHeight="false" outlineLevel="0" collapsed="false">
      <c r="A6" s="2" t="s">
        <v>120</v>
      </c>
      <c r="B6" s="2" t="s">
        <v>127</v>
      </c>
      <c r="C6" s="2" t="s">
        <v>122</v>
      </c>
      <c r="D6" s="2" t="s">
        <v>123</v>
      </c>
    </row>
    <row r="7" customFormat="false" ht="26.85" hidden="false" customHeight="false" outlineLevel="0" collapsed="false">
      <c r="A7" s="2" t="s">
        <v>120</v>
      </c>
      <c r="B7" s="2" t="s">
        <v>128</v>
      </c>
      <c r="C7" s="2" t="s">
        <v>122</v>
      </c>
      <c r="D7" s="2" t="s">
        <v>123</v>
      </c>
    </row>
    <row r="8" customFormat="false" ht="26.85" hidden="false" customHeight="false" outlineLevel="0" collapsed="false">
      <c r="A8" s="2" t="s">
        <v>120</v>
      </c>
      <c r="B8" s="2" t="s">
        <v>129</v>
      </c>
      <c r="C8" s="2" t="s">
        <v>122</v>
      </c>
      <c r="D8" s="2" t="s">
        <v>123</v>
      </c>
    </row>
    <row r="9" customFormat="false" ht="26.85" hidden="false" customHeight="false" outlineLevel="0" collapsed="false">
      <c r="A9" s="2" t="s">
        <v>130</v>
      </c>
      <c r="B9" s="2" t="s">
        <v>131</v>
      </c>
      <c r="C9" s="2" t="s">
        <v>122</v>
      </c>
      <c r="D9" s="2" t="s">
        <v>123</v>
      </c>
    </row>
    <row r="10" customFormat="false" ht="26.85" hidden="false" customHeight="false" outlineLevel="0" collapsed="false">
      <c r="A10" s="2" t="s">
        <v>130</v>
      </c>
      <c r="B10" s="2" t="s">
        <v>132</v>
      </c>
      <c r="C10" s="2" t="s">
        <v>122</v>
      </c>
      <c r="D10" s="2" t="s">
        <v>123</v>
      </c>
    </row>
    <row r="11" customFormat="false" ht="26.85" hidden="false" customHeight="false" outlineLevel="0" collapsed="false">
      <c r="A11" s="2" t="s">
        <v>130</v>
      </c>
      <c r="B11" s="2" t="s">
        <v>133</v>
      </c>
      <c r="C11" s="2" t="s">
        <v>122</v>
      </c>
      <c r="D11" s="2" t="s">
        <v>123</v>
      </c>
    </row>
    <row r="12" customFormat="false" ht="26.85" hidden="false" customHeight="false" outlineLevel="0" collapsed="false">
      <c r="A12" s="2" t="s">
        <v>130</v>
      </c>
      <c r="B12" s="2" t="s">
        <v>134</v>
      </c>
      <c r="C12" s="2" t="s">
        <v>122</v>
      </c>
      <c r="D12" s="2" t="s">
        <v>123</v>
      </c>
    </row>
    <row r="13" customFormat="false" ht="26.85" hidden="false" customHeight="false" outlineLevel="0" collapsed="false">
      <c r="A13" s="2" t="s">
        <v>130</v>
      </c>
      <c r="B13" s="2" t="s">
        <v>135</v>
      </c>
      <c r="C13" s="2" t="s">
        <v>122</v>
      </c>
      <c r="D13" s="2" t="s">
        <v>123</v>
      </c>
    </row>
    <row r="14" customFormat="false" ht="26.85" hidden="false" customHeight="false" outlineLevel="0" collapsed="false">
      <c r="A14" s="2" t="s">
        <v>136</v>
      </c>
      <c r="B14" s="2" t="s">
        <v>137</v>
      </c>
      <c r="C14" s="2" t="s">
        <v>122</v>
      </c>
      <c r="D14" s="2" t="s">
        <v>123</v>
      </c>
    </row>
    <row r="15" customFormat="false" ht="26.85" hidden="false" customHeight="false" outlineLevel="0" collapsed="false">
      <c r="A15" s="2" t="s">
        <v>136</v>
      </c>
      <c r="B15" s="2" t="s">
        <v>138</v>
      </c>
      <c r="C15" s="2" t="s">
        <v>122</v>
      </c>
      <c r="D15" s="2" t="s">
        <v>123</v>
      </c>
    </row>
    <row r="16" customFormat="false" ht="26.85" hidden="false" customHeight="false" outlineLevel="0" collapsed="false">
      <c r="A16" s="2" t="s">
        <v>136</v>
      </c>
      <c r="B16" s="2" t="s">
        <v>139</v>
      </c>
      <c r="C16" s="2" t="s">
        <v>122</v>
      </c>
      <c r="D16" s="2" t="s">
        <v>123</v>
      </c>
    </row>
    <row r="17" customFormat="false" ht="26.85" hidden="false" customHeight="false" outlineLevel="0" collapsed="false">
      <c r="A17" s="2" t="s">
        <v>136</v>
      </c>
      <c r="B17" s="2" t="s">
        <v>140</v>
      </c>
      <c r="C17" s="2" t="s">
        <v>122</v>
      </c>
      <c r="D17" s="2" t="s">
        <v>123</v>
      </c>
    </row>
    <row r="18" customFormat="false" ht="26.85" hidden="false" customHeight="false" outlineLevel="0" collapsed="false">
      <c r="A18" s="2" t="s">
        <v>136</v>
      </c>
      <c r="B18" s="2" t="s">
        <v>141</v>
      </c>
      <c r="C18" s="2" t="s">
        <v>122</v>
      </c>
      <c r="D18" s="2" t="s">
        <v>123</v>
      </c>
    </row>
    <row r="19" customFormat="false" ht="26.85" hidden="false" customHeight="false" outlineLevel="0" collapsed="false">
      <c r="A19" s="2" t="s">
        <v>136</v>
      </c>
      <c r="B19" s="2" t="s">
        <v>142</v>
      </c>
      <c r="C19" s="2" t="s">
        <v>122</v>
      </c>
      <c r="D19" s="2" t="s">
        <v>123</v>
      </c>
    </row>
    <row r="20" customFormat="false" ht="26.85" hidden="false" customHeight="false" outlineLevel="0" collapsed="false">
      <c r="A20" s="2" t="s">
        <v>143</v>
      </c>
      <c r="B20" s="2" t="s">
        <v>144</v>
      </c>
      <c r="C20" s="2" t="s">
        <v>122</v>
      </c>
      <c r="D20" s="2" t="s">
        <v>123</v>
      </c>
    </row>
    <row r="21" customFormat="false" ht="26.85" hidden="false" customHeight="false" outlineLevel="0" collapsed="false">
      <c r="A21" s="2" t="s">
        <v>143</v>
      </c>
      <c r="B21" s="2" t="s">
        <v>145</v>
      </c>
      <c r="C21" s="2" t="s">
        <v>122</v>
      </c>
      <c r="D21" s="2" t="s">
        <v>123</v>
      </c>
    </row>
    <row r="22" customFormat="false" ht="26.85" hidden="false" customHeight="false" outlineLevel="0" collapsed="false">
      <c r="A22" s="2" t="s">
        <v>143</v>
      </c>
      <c r="B22" s="2" t="s">
        <v>146</v>
      </c>
      <c r="C22" s="2" t="s">
        <v>122</v>
      </c>
      <c r="D22" s="2" t="s">
        <v>123</v>
      </c>
    </row>
    <row r="23" customFormat="false" ht="26.85" hidden="false" customHeight="false" outlineLevel="0" collapsed="false">
      <c r="A23" s="2" t="s">
        <v>143</v>
      </c>
      <c r="B23" s="2" t="s">
        <v>147</v>
      </c>
      <c r="C23" s="2" t="s">
        <v>122</v>
      </c>
      <c r="D23" s="2" t="s">
        <v>123</v>
      </c>
    </row>
  </sheetData>
  <autoFilter ref="A1:D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7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148</v>
      </c>
      <c r="B1" s="1" t="s">
        <v>149</v>
      </c>
      <c r="C1" s="1" t="s">
        <v>150</v>
      </c>
      <c r="D1" s="1" t="s">
        <v>151</v>
      </c>
    </row>
    <row r="2" customFormat="false" ht="26.85" hidden="false" customHeight="false" outlineLevel="0" collapsed="false">
      <c r="A2" s="2" t="n">
        <v>0</v>
      </c>
      <c r="B2" s="2" t="s">
        <v>152</v>
      </c>
      <c r="C2" s="2" t="s">
        <v>153</v>
      </c>
      <c r="D2" s="2" t="s">
        <v>154</v>
      </c>
    </row>
    <row r="3" customFormat="false" ht="26.85" hidden="false" customHeight="false" outlineLevel="0" collapsed="false">
      <c r="A3" s="2" t="n">
        <v>1</v>
      </c>
      <c r="B3" s="2" t="s">
        <v>155</v>
      </c>
      <c r="C3" s="2" t="s">
        <v>156</v>
      </c>
      <c r="D3" s="2" t="s">
        <v>157</v>
      </c>
    </row>
    <row r="4" customFormat="false" ht="15" hidden="false" customHeight="false" outlineLevel="0" collapsed="false">
      <c r="A4" s="2" t="n">
        <v>2</v>
      </c>
      <c r="B4" s="2" t="s">
        <v>158</v>
      </c>
      <c r="C4" s="2" t="s">
        <v>159</v>
      </c>
      <c r="D4" s="2" t="s">
        <v>160</v>
      </c>
    </row>
    <row r="5" customFormat="false" ht="15" hidden="false" customHeight="false" outlineLevel="0" collapsed="false">
      <c r="A5" s="2" t="n">
        <v>3</v>
      </c>
      <c r="B5" s="2" t="s">
        <v>161</v>
      </c>
      <c r="C5" s="2" t="s">
        <v>162</v>
      </c>
      <c r="D5" s="2" t="s">
        <v>163</v>
      </c>
    </row>
    <row r="6" customFormat="false" ht="26.85" hidden="false" customHeight="false" outlineLevel="0" collapsed="false">
      <c r="A6" s="2" t="n">
        <v>4</v>
      </c>
      <c r="B6" s="2" t="s">
        <v>164</v>
      </c>
      <c r="C6" s="2" t="s">
        <v>165</v>
      </c>
      <c r="D6" s="2" t="s">
        <v>166</v>
      </c>
    </row>
    <row r="7" customFormat="false" ht="15" hidden="false" customHeight="false" outlineLevel="0" collapsed="false">
      <c r="A7" s="2" t="n">
        <v>5</v>
      </c>
      <c r="B7" s="2" t="s">
        <v>167</v>
      </c>
      <c r="C7" s="2" t="s">
        <v>168</v>
      </c>
      <c r="D7" s="2" t="s">
        <v>169</v>
      </c>
    </row>
  </sheetData>
  <autoFilter ref="A1:D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36"/>
  </cols>
  <sheetData>
    <row r="1" customFormat="false" ht="15" hidden="false" customHeight="false" outlineLevel="0" collapsed="false">
      <c r="A1" s="7" t="s">
        <v>170</v>
      </c>
      <c r="B1" s="7" t="s">
        <v>2</v>
      </c>
      <c r="C1" s="7" t="s">
        <v>3</v>
      </c>
      <c r="D1" s="7" t="s">
        <v>171</v>
      </c>
    </row>
    <row r="2" customFormat="false" ht="15" hidden="false" customHeight="false" outlineLevel="0" collapsed="false">
      <c r="A2" s="8" t="s">
        <v>172</v>
      </c>
      <c r="B2" s="9" t="n">
        <v>1000</v>
      </c>
      <c r="C2" s="8" t="s">
        <v>173</v>
      </c>
      <c r="D2" s="8" t="s">
        <v>174</v>
      </c>
    </row>
    <row r="3" customFormat="false" ht="15" hidden="false" customHeight="false" outlineLevel="0" collapsed="false">
      <c r="A3" s="8" t="s">
        <v>175</v>
      </c>
      <c r="B3" s="9" t="n">
        <v>9.81</v>
      </c>
      <c r="C3" s="8" t="s">
        <v>176</v>
      </c>
      <c r="D3" s="8" t="s">
        <v>174</v>
      </c>
    </row>
    <row r="4" customFormat="false" ht="15" hidden="false" customHeight="false" outlineLevel="0" collapsed="false">
      <c r="A4" s="8" t="s">
        <v>177</v>
      </c>
      <c r="B4" s="10" t="n">
        <f aca="false">'Brochure Data'!C12</f>
        <v>460</v>
      </c>
      <c r="C4" s="8" t="s">
        <v>31</v>
      </c>
      <c r="D4" s="8" t="s">
        <v>10</v>
      </c>
    </row>
    <row r="5" customFormat="false" ht="15" hidden="false" customHeight="false" outlineLevel="0" collapsed="false">
      <c r="A5" s="8" t="s">
        <v>26</v>
      </c>
      <c r="B5" s="10" t="n">
        <f aca="false">'Brochure Data'!C9</f>
        <v>69</v>
      </c>
      <c r="C5" s="8" t="s">
        <v>22</v>
      </c>
      <c r="D5" s="8" t="s">
        <v>10</v>
      </c>
    </row>
    <row r="6" customFormat="false" ht="15" hidden="false" customHeight="false" outlineLevel="0" collapsed="false">
      <c r="A6" s="8" t="s">
        <v>178</v>
      </c>
      <c r="B6" s="10" t="n">
        <f aca="false">'Brochure Data'!C10/100</f>
        <v>0.94</v>
      </c>
      <c r="C6" s="8" t="s">
        <v>179</v>
      </c>
      <c r="D6" s="8" t="s">
        <v>10</v>
      </c>
    </row>
    <row r="7" customFormat="false" ht="15" hidden="false" customHeight="false" outlineLevel="0" collapsed="false">
      <c r="A7" s="8" t="s">
        <v>180</v>
      </c>
      <c r="B7" s="11" t="n">
        <f aca="false">B2*B3*B4*B5*B6/1000000</f>
        <v>292.687236</v>
      </c>
      <c r="C7" s="8" t="s">
        <v>9</v>
      </c>
      <c r="D7" s="8" t="s">
        <v>181</v>
      </c>
    </row>
    <row r="8" customFormat="false" ht="15" hidden="false" customHeight="false" outlineLevel="0" collapsed="false">
      <c r="A8" s="8" t="s">
        <v>182</v>
      </c>
      <c r="B8" s="10" t="n">
        <f aca="false">'Brochure Data'!C5</f>
        <v>290</v>
      </c>
      <c r="C8" s="8" t="s">
        <v>9</v>
      </c>
      <c r="D8" s="8" t="s">
        <v>10</v>
      </c>
    </row>
    <row r="9" customFormat="false" ht="15" hidden="false" customHeight="false" outlineLevel="0" collapsed="false">
      <c r="A9" s="8" t="s">
        <v>183</v>
      </c>
      <c r="B9" s="10" t="n">
        <f aca="false">'Brochure Data'!C6</f>
        <v>295</v>
      </c>
      <c r="C9" s="8" t="s">
        <v>9</v>
      </c>
      <c r="D9" s="8" t="s">
        <v>10</v>
      </c>
    </row>
    <row r="10" customFormat="false" ht="15" hidden="false" customHeight="false" outlineLevel="0" collapsed="false">
      <c r="A10" s="8" t="s">
        <v>184</v>
      </c>
      <c r="B10" s="11" t="n">
        <f aca="false">B7-B8</f>
        <v>2.68723599999998</v>
      </c>
      <c r="C10" s="8" t="s">
        <v>9</v>
      </c>
      <c r="D10" s="8" t="s">
        <v>185</v>
      </c>
    </row>
    <row r="11" customFormat="false" ht="15" hidden="false" customHeight="false" outlineLevel="0" collapsed="false">
      <c r="A11" s="8" t="s">
        <v>186</v>
      </c>
      <c r="B11" s="11" t="n">
        <f aca="false">B7-B9</f>
        <v>-2.31276400000002</v>
      </c>
      <c r="C11" s="8" t="s">
        <v>9</v>
      </c>
      <c r="D11" s="8" t="s">
        <v>185</v>
      </c>
    </row>
    <row r="12" customFormat="false" ht="15" hidden="false" customHeight="false" outlineLevel="0" collapsed="false">
      <c r="A12" s="8" t="s">
        <v>187</v>
      </c>
      <c r="B12" s="8" t="n">
        <f aca="false">5*B7</f>
        <v>1463.43618</v>
      </c>
      <c r="C12" s="8" t="s">
        <v>9</v>
      </c>
      <c r="D12" s="8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2026-10-12T18:32:09Z</dcterms:created>
  <dc:creator>openpyxl</dc:creator>
  <dc:description/>
  <dc:language>en-US</dc:language>
  <cp:lastModifiedBy/>
  <dcterms:modified xsi:type="dcterms:W3CDTF">2026-10-12T18:32:09Z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